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cfe8a267e2556/Área de Trabalho/Denise/"/>
    </mc:Choice>
  </mc:AlternateContent>
  <xr:revisionPtr revIDLastSave="3" documentId="8_{5DF1D024-201C-4E52-AC3E-CF15E0B71F55}" xr6:coauthVersionLast="47" xr6:coauthVersionMax="47" xr10:uidLastSave="{8987A301-8759-43C4-850F-927F5D349B42}"/>
  <bookViews>
    <workbookView xWindow="-120" yWindow="-120" windowWidth="29040" windowHeight="15840" activeTab="3" xr2:uid="{6DA218BE-8AFB-4E8C-92D8-64541E66716D}"/>
  </bookViews>
  <sheets>
    <sheet name="Data" sheetId="1" r:id="rId1"/>
    <sheet name="Controller" sheetId="2" r:id="rId2"/>
    <sheet name="Caixinha" sheetId="4" r:id="rId3"/>
    <sheet name="Dashboard" sheetId="3" r:id="rId4"/>
  </sheets>
  <definedNames>
    <definedName name="SegmentaçãodeDados_Mês">#N/A</definedName>
  </definedNames>
  <calcPr calcId="181029"/>
  <pivotCaches>
    <pivotCache cacheId="6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14" i="4"/>
  <c r="B15" i="4"/>
  <c r="B16" i="4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1" i="4" l="1"/>
</calcChain>
</file>

<file path=xl/sharedStrings.xml><?xml version="1.0" encoding="utf-8"?>
<sst xmlns="http://schemas.openxmlformats.org/spreadsheetml/2006/main" count="262" uniqueCount="81">
  <si>
    <t>Data</t>
  </si>
  <si>
    <t>Tipo</t>
  </si>
  <si>
    <t>Descrição</t>
  </si>
  <si>
    <t>Valor</t>
  </si>
  <si>
    <t>Categoria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</si>
  <si>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</si>
  <si>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</si>
  <si>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</si>
  <si>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</si>
  <si>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</si>
  <si>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</si>
  <si>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</si>
  <si>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</si>
  <si>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</si>
  <si>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</si>
  <si>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</si>
  <si>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</si>
  <si>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</si>
  <si>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</si>
  <si>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</si>
  <si>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</si>
  <si>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</si>
  <si>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</si>
  <si>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</si>
  <si>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</si>
  <si>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</si>
  <si>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</si>
  <si>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</si>
  <si>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</si>
  <si>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</si>
  <si>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</si>
  <si>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</si>
  <si>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</si>
  <si>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</si>
  <si>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</si>
  <si>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</si>
  <si>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</si>
  <si>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</si>
  <si>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</si>
  <si>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</si>
  <si>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</si>
  <si>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</si>
  <si>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</si>
  <si>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</si>
  <si>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</si>
  <si>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</si>
  <si>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</si>
  <si>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</si>
  <si>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</si>
  <si>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</si>
  <si>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</si>
  <si>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</si>
  <si>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</si>
  <si>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</si>
  <si>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</si>
  <si>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</si>
  <si>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</si>
  <si>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</si>
  <si>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</si>
  <si>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</si>
  <si>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</si>
  <si>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</si>
  <si>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</si>
  <si>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</si>
  <si>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</si>
  <si>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</si>
  <si>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</si>
  <si>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</si>
  <si>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</si>
  <si>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</si>
  <si>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</si>
  <si>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</si>
  <si>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</si>
  <si>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</si>
  <si>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Soma de Valor</t>
  </si>
  <si>
    <t>Quanto tive de saída por categoria somarizado em R$</t>
  </si>
  <si>
    <t>Mês</t>
  </si>
  <si>
    <t>Data de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</si>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</sst>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6F5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2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 applyBorder="1"/>
    <xf numFmtId="1" fontId="0" fillId="0" borderId="0" xfId="0" applyNumberFormat="1" applyAlignment="1">
      <alignment horizontal="center" wrapText="1"/>
    </xf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Moeda 2" xfId="2" xr:uid="{7CD25E68-36F5-474D-919F-7285016945B2}"/>
    <cellStyle name="Normal" xfId="0" builtinId="0"/>
  </cellStyles>
  <dxfs count="6">
    <dxf>
      <numFmt numFmtId="34" formatCode="_-&quot;R$&quot;\ * #,##0.00_-;\-&quot;R$&quot;\ * #,##0.00_-;_-&quot;R$&quot;\ * &quot;-&quot;??_-;_-@_-"/>
    </dxf>
    <dxf>
      <font>
        <b/>
        <color theme="1"/>
      </font>
      <fill>
        <patternFill>
          <bgColor theme="0" tint="-4.9989318521683403E-2"/>
        </patternFill>
      </fill>
      <border>
        <bottom style="thin">
          <color theme="5"/>
        </bottom>
        <vertical/>
        <horizontal/>
      </border>
    </dxf>
    <dxf>
      <font>
        <color theme="1"/>
      </font>
      <fill>
        <patternFill>
          <fgColor rgb="FFFB6F54"/>
          <bgColor rgb="FFFB6F54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fgColor rgb="FFFB6F54"/>
        </patternFill>
      </fill>
      <border diagonalUp="0" diagonalDown="0">
        <left/>
        <right/>
        <top/>
        <bottom/>
        <vertical/>
        <horizontal/>
      </border>
    </dxf>
    <dxf>
      <numFmt numFmtId="1" formatCode="0"/>
      <alignment horizontal="center" vertical="bottom" textRotation="0" wrapText="1" indent="0" justifyLastLine="0" shrinkToFit="0" readingOrder="0"/>
    </dxf>
  </dxfs>
  <tableStyles count="2" defaultTableStyle="TableStyleMedium2" defaultPivotStyle="PivotStyleLight16">
    <tableStyle name="My Style" pivot="0" table="0" count="10" xr9:uid="{D1F073D3-2E0E-4E3D-9ECB-F982F35B2565}">
      <tableStyleElement type="wholeTable" dxfId="2"/>
      <tableStyleElement type="headerRow" dxfId="1"/>
    </tableStyle>
    <tableStyle name="My Style 2" pivot="0" table="0" count="10" xr9:uid="{AFD0BE33-2046-4D0E-A583-49B276185E8F}">
      <tableStyleElement type="wholeTable" dxfId="4"/>
      <tableStyleElement type="headerRow" dxfId="3"/>
    </tableStyle>
  </tableStyles>
  <colors>
    <mruColors>
      <color rgb="FFFB6F54"/>
      <color rgb="FFF7C5A3"/>
      <color rgb="FFFDF3ED"/>
      <color rgb="FFF6BE98"/>
      <color rgb="FFFDF0E7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rgb="FFFDF0E7"/>
              <bgColor rgb="FFFDF3ED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7C5A3"/>
              <bgColor rgb="FFF6BE9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rgb="FFFDF0E7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7C5A3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My Style">
        <x14:slicerStyle name="My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My Style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Bootcamp.xlsx]Controller!Tabela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944444444444448E-2"/>
          <c:y val="7.407407407407407E-2"/>
          <c:w val="0.93888888888888888"/>
          <c:h val="0.85026975794692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Controller!$E$9:$E$13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Controller!$F$9:$F$13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7-40E2-920E-AE74A551A0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64627168"/>
        <c:axId val="364628248"/>
      </c:barChart>
      <c:catAx>
        <c:axId val="36462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628248"/>
        <c:crosses val="autoZero"/>
        <c:auto val="1"/>
        <c:lblAlgn val="ctr"/>
        <c:lblOffset val="100"/>
        <c:noMultiLvlLbl val="0"/>
      </c:catAx>
      <c:valAx>
        <c:axId val="36462824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46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Bootcamp.xlsx]Controller!Tabela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B6F54"/>
          </a:solidFill>
          <a:ln>
            <a:solidFill>
              <a:srgbClr val="FB6F5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23654280057098E-2"/>
          <c:y val="0.27883396704689478"/>
          <c:w val="0.940955626160765"/>
          <c:h val="0.344795664800455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54"/>
            </a:solidFill>
            <a:ln>
              <a:solidFill>
                <a:srgbClr val="FB6F5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Controller!$B$9:$B$24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Controller!$C$9:$C$24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C-4F8A-813F-170C617AD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64635808"/>
        <c:axId val="364630768"/>
      </c:barChart>
      <c:catAx>
        <c:axId val="36463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630768"/>
        <c:crosses val="autoZero"/>
        <c:auto val="1"/>
        <c:lblAlgn val="ctr"/>
        <c:lblOffset val="100"/>
        <c:noMultiLvlLbl val="0"/>
      </c:catAx>
      <c:valAx>
        <c:axId val="3646307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46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B6F54"/>
            </a:solidFill>
            <a:ln>
              <a:solidFill>
                <a:srgbClr val="FB6F54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86000">
                    <a:srgbClr val="FDF3ED"/>
                  </a:gs>
                  <a:gs pos="57000">
                    <a:srgbClr val="F6BE98"/>
                  </a:gs>
                  <a:gs pos="100000">
                    <a:srgbClr val="FDF3ED"/>
                  </a:gs>
                </a:gsLst>
                <a:lin ang="5400000" scaled="1"/>
              </a:gradFill>
              <a:ln>
                <a:gradFill flip="none" rotWithShape="1">
                  <a:gsLst>
                    <a:gs pos="0">
                      <a:srgbClr val="FB6F54"/>
                    </a:gs>
                    <a:gs pos="86000">
                      <a:srgbClr val="FDF3ED"/>
                    </a:gs>
                    <a:gs pos="57000">
                      <a:srgbClr val="F6BE98"/>
                    </a:gs>
                    <a:gs pos="100000">
                      <a:srgbClr val="FDF3ED"/>
                    </a:gs>
                  </a:gsLst>
                  <a:lin ang="5400000" scaled="1"/>
                  <a:tileRect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A-447B-AA48-D4AF7D2C06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Caixinha!$A$1:$A$2</c:f>
              <c:strCache>
                <c:ptCount val="2"/>
                <c:pt idx="0">
                  <c:v>Total Reservado</c:v>
                </c:pt>
                <c:pt idx="1">
                  <c:v>Meta de Reserva</c:v>
                </c:pt>
              </c:strCache>
            </c:strRef>
          </c:cat>
          <c:val>
            <c:numRef>
              <c:f>Caixinha!$B$1:$B$2</c:f>
              <c:numCache>
                <c:formatCode>_("R$"* #,##0.00_);_("R$"* \(#,##0.00\);_("R$"* "-"??_);_(@_)</c:formatCode>
                <c:ptCount val="2"/>
                <c:pt idx="0">
                  <c:v>3227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A-447B-AA48-D4AF7D2C06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4630768"/>
        <c:axId val="364635808"/>
      </c:barChart>
      <c:catAx>
        <c:axId val="3646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635808"/>
        <c:crosses val="autoZero"/>
        <c:auto val="1"/>
        <c:lblAlgn val="ctr"/>
        <c:lblOffset val="100"/>
        <c:noMultiLvlLbl val="0"/>
      </c:catAx>
      <c:valAx>
        <c:axId val="3646358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463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4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hyperlink" Target="#Data!A1"/><Relationship Id="rId5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9</xdr:row>
      <xdr:rowOff>11904</xdr:rowOff>
    </xdr:from>
    <xdr:to>
      <xdr:col>10</xdr:col>
      <xdr:colOff>23812</xdr:colOff>
      <xdr:row>26</xdr:row>
      <xdr:rowOff>154779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045525B0-1A18-9424-9E10-BDEEF3CEDA23}"/>
            </a:ext>
          </a:extLst>
        </xdr:cNvPr>
        <xdr:cNvGrpSpPr/>
      </xdr:nvGrpSpPr>
      <xdr:grpSpPr>
        <a:xfrm>
          <a:off x="2095500" y="1726404"/>
          <a:ext cx="5369718" cy="3381375"/>
          <a:chOff x="2095500" y="714376"/>
          <a:chExt cx="5369718" cy="3381375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0DA9F84F-CE90-F5D4-7871-813EEE845869}"/>
              </a:ext>
            </a:extLst>
          </xdr:cNvPr>
          <xdr:cNvGrpSpPr/>
        </xdr:nvGrpSpPr>
        <xdr:grpSpPr>
          <a:xfrm>
            <a:off x="2095500" y="714376"/>
            <a:ext cx="5369718" cy="3381375"/>
            <a:chOff x="2809876" y="750094"/>
            <a:chExt cx="5369718" cy="3381375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DBA326AA-1F81-690E-9992-E38E4F443EE5}"/>
                </a:ext>
              </a:extLst>
            </xdr:cNvPr>
            <xdr:cNvSpPr/>
          </xdr:nvSpPr>
          <xdr:spPr>
            <a:xfrm>
              <a:off x="2821781" y="750094"/>
              <a:ext cx="5357813" cy="33813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7" name="Retângulo: Cantos Superiores Arredondados 6">
              <a:extLst>
                <a:ext uri="{FF2B5EF4-FFF2-40B4-BE49-F238E27FC236}">
                  <a16:creationId xmlns:a16="http://schemas.microsoft.com/office/drawing/2014/main" id="{C120F50A-5D61-AAD3-6866-E9C474E8F29E}"/>
                </a:ext>
              </a:extLst>
            </xdr:cNvPr>
            <xdr:cNvSpPr/>
          </xdr:nvSpPr>
          <xdr:spPr>
            <a:xfrm>
              <a:off x="2809876" y="750094"/>
              <a:ext cx="5369718" cy="83343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B6F5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AD57FECF-F318-408D-A262-AFD2658F81E4}"/>
              </a:ext>
            </a:extLst>
          </xdr:cNvPr>
          <xdr:cNvGraphicFramePr>
            <a:graphicFrameLocks/>
          </xdr:cNvGraphicFramePr>
        </xdr:nvGraphicFramePr>
        <xdr:xfrm>
          <a:off x="2393158" y="1726406"/>
          <a:ext cx="4750592" cy="21836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6E8CAF4F-6549-73AE-2E84-B03357FDE453}"/>
              </a:ext>
            </a:extLst>
          </xdr:cNvPr>
          <xdr:cNvSpPr txBox="1"/>
        </xdr:nvSpPr>
        <xdr:spPr>
          <a:xfrm>
            <a:off x="2274101" y="976310"/>
            <a:ext cx="3381375" cy="571500"/>
          </a:xfrm>
          <a:prstGeom prst="rect">
            <a:avLst/>
          </a:prstGeom>
          <a:solidFill>
            <a:srgbClr val="FB6F54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2000" b="1" i="0" kern="1200">
                <a:solidFill>
                  <a:schemeClr val="bg1"/>
                </a:solidFill>
              </a:rPr>
              <a:t>Entradas</a:t>
            </a:r>
          </a:p>
        </xdr:txBody>
      </xdr:sp>
      <xdr:pic>
        <xdr:nvPicPr>
          <xdr:cNvPr id="20" name="Imagem 19" descr="659.200+ Símbolo De Moeda fotos de stock, imagens e fotos ...">
            <a:extLst>
              <a:ext uri="{FF2B5EF4-FFF2-40B4-BE49-F238E27FC236}">
                <a16:creationId xmlns:a16="http://schemas.microsoft.com/office/drawing/2014/main" id="{F2A0AFF9-5D44-5134-7D3D-C59C9D08DE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36156" y="773907"/>
            <a:ext cx="789004" cy="745332"/>
          </a:xfrm>
          <a:prstGeom prst="rect">
            <a:avLst/>
          </a:prstGeom>
          <a:ln>
            <a:noFill/>
          </a:ln>
          <a:effectLst>
            <a:softEdge rad="11250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119062</xdr:colOff>
      <xdr:row>29</xdr:row>
      <xdr:rowOff>187868</xdr:rowOff>
    </xdr:from>
    <xdr:to>
      <xdr:col>18</xdr:col>
      <xdr:colOff>371475</xdr:colOff>
      <xdr:row>47</xdr:row>
      <xdr:rowOff>140481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BF957C2D-F638-C70A-06EF-330EE8CFFA36}"/>
            </a:ext>
          </a:extLst>
        </xdr:cNvPr>
        <xdr:cNvGrpSpPr/>
      </xdr:nvGrpSpPr>
      <xdr:grpSpPr>
        <a:xfrm>
          <a:off x="2095500" y="5712368"/>
          <a:ext cx="10575131" cy="3381613"/>
          <a:chOff x="2095500" y="4700340"/>
          <a:chExt cx="10575131" cy="3381613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CBAA367-3A7A-AAB6-06D3-0F3723C95160}"/>
              </a:ext>
            </a:extLst>
          </xdr:cNvPr>
          <xdr:cNvGrpSpPr/>
        </xdr:nvGrpSpPr>
        <xdr:grpSpPr>
          <a:xfrm>
            <a:off x="2095500" y="4700578"/>
            <a:ext cx="10575131" cy="3381375"/>
            <a:chOff x="2736056" y="4200525"/>
            <a:chExt cx="10575131" cy="3381375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86DB91EE-EE2C-D7E8-7F34-80D56C162B76}"/>
                </a:ext>
              </a:extLst>
            </xdr:cNvPr>
            <xdr:cNvGrpSpPr/>
          </xdr:nvGrpSpPr>
          <xdr:grpSpPr>
            <a:xfrm>
              <a:off x="2736056" y="4200525"/>
              <a:ext cx="10575131" cy="3381375"/>
              <a:chOff x="2736056" y="4200525"/>
              <a:chExt cx="10575131" cy="3381375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8E77877E-B3DA-4859-A695-987B5891051A}"/>
                  </a:ext>
                </a:extLst>
              </xdr:cNvPr>
              <xdr:cNvSpPr/>
            </xdr:nvSpPr>
            <xdr:spPr>
              <a:xfrm>
                <a:off x="2736056" y="4200525"/>
                <a:ext cx="10575131" cy="33813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8" name="Retângulo: Cantos Superiores Arredondados 7">
                <a:extLst>
                  <a:ext uri="{FF2B5EF4-FFF2-40B4-BE49-F238E27FC236}">
                    <a16:creationId xmlns:a16="http://schemas.microsoft.com/office/drawing/2014/main" id="{0326D3AF-2B84-4911-8284-84F52D5E332C}"/>
                  </a:ext>
                </a:extLst>
              </xdr:cNvPr>
              <xdr:cNvSpPr/>
            </xdr:nvSpPr>
            <xdr:spPr>
              <a:xfrm>
                <a:off x="2736057" y="4200526"/>
                <a:ext cx="10575129" cy="833437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3B4C613-097C-4B2E-8854-46987EB82A7D}"/>
                </a:ext>
              </a:extLst>
            </xdr:cNvPr>
            <xdr:cNvGraphicFramePr>
              <a:graphicFrameLocks/>
            </xdr:cNvGraphicFramePr>
          </xdr:nvGraphicFramePr>
          <xdr:xfrm>
            <a:off x="2893219" y="5083974"/>
            <a:ext cx="10358437" cy="22621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395F2A02-E13A-4C30-B22D-0D8783A3F53E}"/>
                </a:ext>
              </a:extLst>
            </xdr:cNvPr>
            <xdr:cNvSpPr txBox="1"/>
          </xdr:nvSpPr>
          <xdr:spPr>
            <a:xfrm>
              <a:off x="3021806" y="4450553"/>
              <a:ext cx="3381375" cy="571500"/>
            </a:xfrm>
            <a:prstGeom prst="rect">
              <a:avLst/>
            </a:prstGeom>
            <a:solidFill>
              <a:srgbClr val="FB6F54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pt-BR" sz="2000" b="1" i="0" kern="1200">
                  <a:solidFill>
                    <a:schemeClr val="bg1"/>
                  </a:solidFill>
                </a:rPr>
                <a:t>Saídas</a:t>
              </a:r>
            </a:p>
          </xdr:txBody>
        </xdr:sp>
      </xdr:grpSp>
      <xdr:pic>
        <xdr:nvPicPr>
          <xdr:cNvPr id="21" name="Imagem 20" descr="Dinheiro voando - ícones de negócios e finanças grátis">
            <a:extLst>
              <a:ext uri="{FF2B5EF4-FFF2-40B4-BE49-F238E27FC236}">
                <a16:creationId xmlns:a16="http://schemas.microsoft.com/office/drawing/2014/main" id="{AECC2A0D-1830-62FC-F0DB-6E5A4F9E2A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64719" y="4700340"/>
            <a:ext cx="809625" cy="812333"/>
          </a:xfrm>
          <a:prstGeom prst="rect">
            <a:avLst/>
          </a:prstGeom>
          <a:ln>
            <a:noFill/>
          </a:ln>
          <a:effectLst>
            <a:softEdge rad="11250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107158</xdr:colOff>
      <xdr:row>8</xdr:row>
      <xdr:rowOff>83344</xdr:rowOff>
    </xdr:from>
    <xdr:to>
      <xdr:col>0</xdr:col>
      <xdr:colOff>1935958</xdr:colOff>
      <xdr:row>21</xdr:row>
      <xdr:rowOff>130969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Mês">
              <a:extLst>
                <a:ext uri="{FF2B5EF4-FFF2-40B4-BE49-F238E27FC236}">
                  <a16:creationId xmlns:a16="http://schemas.microsoft.com/office/drawing/2014/main" id="{C3DBF635-C72B-45CC-B67F-D1BE3C5424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8" y="1607344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119062</xdr:colOff>
      <xdr:row>0</xdr:row>
      <xdr:rowOff>83344</xdr:rowOff>
    </xdr:from>
    <xdr:to>
      <xdr:col>18</xdr:col>
      <xdr:colOff>440531</xdr:colOff>
      <xdr:row>5</xdr:row>
      <xdr:rowOff>178594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DCF7073C-9CDF-4DBC-ABE1-B514B5461B4D}"/>
            </a:ext>
          </a:extLst>
        </xdr:cNvPr>
        <xdr:cNvSpPr/>
      </xdr:nvSpPr>
      <xdr:spPr>
        <a:xfrm>
          <a:off x="2095500" y="83344"/>
          <a:ext cx="10644187" cy="1047750"/>
        </a:xfrm>
        <a:prstGeom prst="roundRect">
          <a:avLst/>
        </a:prstGeom>
        <a:solidFill>
          <a:srgbClr val="F7C5A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>
              <a:solidFill>
                <a:srgbClr val="FB6F54"/>
              </a:solidFill>
            </a:rPr>
            <a:t>DASHBOARD FINANCEIRO</a:t>
          </a:r>
        </a:p>
        <a:p>
          <a:pPr algn="ctr"/>
          <a:r>
            <a:rPr lang="pt-BR" sz="2000" b="1" kern="1200">
              <a:solidFill>
                <a:srgbClr val="FB6F54"/>
              </a:solidFill>
            </a:rPr>
            <a:t>Denise C. B.</a:t>
          </a:r>
          <a:r>
            <a:rPr lang="pt-BR" sz="2000" b="1" kern="1200" baseline="0">
              <a:solidFill>
                <a:srgbClr val="FB6F54"/>
              </a:solidFill>
            </a:rPr>
            <a:t> Grezzani</a:t>
          </a:r>
          <a:endParaRPr lang="pt-BR" sz="2000" b="1" kern="1200">
            <a:solidFill>
              <a:srgbClr val="FB6F54"/>
            </a:solidFill>
          </a:endParaRPr>
        </a:p>
      </xdr:txBody>
    </xdr:sp>
    <xdr:clientData/>
  </xdr:twoCellAnchor>
  <xdr:twoCellAnchor editAs="oneCell">
    <xdr:from>
      <xdr:col>2</xdr:col>
      <xdr:colOff>71438</xdr:colOff>
      <xdr:row>0</xdr:row>
      <xdr:rowOff>115756</xdr:rowOff>
    </xdr:from>
    <xdr:to>
      <xdr:col>3</xdr:col>
      <xdr:colOff>452437</xdr:colOff>
      <xdr:row>5</xdr:row>
      <xdr:rowOff>154780</xdr:rowOff>
    </xdr:to>
    <xdr:pic>
      <xdr:nvPicPr>
        <xdr:cNvPr id="34" name="Imagem 33" descr="Página 2 | Fotos Boneca Png Professora | Freepik">
          <a:extLst>
            <a:ext uri="{FF2B5EF4-FFF2-40B4-BE49-F238E27FC236}">
              <a16:creationId xmlns:a16="http://schemas.microsoft.com/office/drawing/2014/main" id="{9649E726-A08B-B23F-6046-4D09A731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094" y="115756"/>
          <a:ext cx="988218" cy="991524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B6F54"/>
          </a:solidFill>
          <a:miter lim="800000"/>
        </a:ln>
        <a:effectLst>
          <a:outerShdw blurRad="65000" dist="50800" dir="12900000" kx="195000" ky="145000" algn="tl" rotWithShape="0">
            <a:srgbClr val="000000">
              <a:alpha val="30000"/>
            </a:srgbClr>
          </a:outerShdw>
        </a:effectLst>
        <a:scene3d>
          <a:camera prst="orthographicFront">
            <a:rot lat="0" lon="0" rev="360000"/>
          </a:camera>
          <a:lightRig rig="twoPt" dir="t">
            <a:rot lat="0" lon="0" rev="7200000"/>
          </a:lightRig>
        </a:scene3d>
        <a:sp3d contourW="12700">
          <a:bevelT w="25400" h="19050"/>
          <a:contourClr>
            <a:srgbClr val="969696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285749</xdr:colOff>
      <xdr:row>0</xdr:row>
      <xdr:rowOff>176214</xdr:rowOff>
    </xdr:from>
    <xdr:to>
      <xdr:col>18</xdr:col>
      <xdr:colOff>261937</xdr:colOff>
      <xdr:row>2</xdr:row>
      <xdr:rowOff>83345</xdr:rowOff>
    </xdr:to>
    <xdr:sp macro="" textlink="">
      <xdr:nvSpPr>
        <xdr:cNvPr id="38" name="Retângulo: Cantos Arredondados 3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10C6B7-B8C6-EA46-5586-C52C0E0FC42C}"/>
            </a:ext>
          </a:extLst>
        </xdr:cNvPr>
        <xdr:cNvSpPr/>
      </xdr:nvSpPr>
      <xdr:spPr>
        <a:xfrm>
          <a:off x="10156030" y="176214"/>
          <a:ext cx="2405063" cy="28813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kern="1200">
              <a:solidFill>
                <a:schemeClr val="bg1">
                  <a:lumMod val="65000"/>
                </a:schemeClr>
              </a:solidFill>
            </a:rPr>
            <a:t>pesquisar texto</a:t>
          </a:r>
        </a:p>
      </xdr:txBody>
    </xdr:sp>
    <xdr:clientData/>
  </xdr:twoCellAnchor>
  <xdr:twoCellAnchor>
    <xdr:from>
      <xdr:col>0</xdr:col>
      <xdr:colOff>83344</xdr:colOff>
      <xdr:row>0</xdr:row>
      <xdr:rowOff>83344</xdr:rowOff>
    </xdr:from>
    <xdr:to>
      <xdr:col>0</xdr:col>
      <xdr:colOff>1881188</xdr:colOff>
      <xdr:row>3</xdr:row>
      <xdr:rowOff>142875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582B7F65-C88C-D51C-6A02-B3010AC108C8}"/>
            </a:ext>
          </a:extLst>
        </xdr:cNvPr>
        <xdr:cNvSpPr/>
      </xdr:nvSpPr>
      <xdr:spPr>
        <a:xfrm>
          <a:off x="83344" y="83344"/>
          <a:ext cx="1797844" cy="631031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kern="1200">
              <a:solidFill>
                <a:schemeClr val="bg1"/>
              </a:solidFill>
            </a:rPr>
            <a:t>Money APP</a:t>
          </a:r>
        </a:p>
      </xdr:txBody>
    </xdr:sp>
    <xdr:clientData/>
  </xdr:twoCellAnchor>
  <xdr:twoCellAnchor>
    <xdr:from>
      <xdr:col>10</xdr:col>
      <xdr:colOff>92851</xdr:colOff>
      <xdr:row>9</xdr:row>
      <xdr:rowOff>9526</xdr:rowOff>
    </xdr:from>
    <xdr:to>
      <xdr:col>18</xdr:col>
      <xdr:colOff>604819</xdr:colOff>
      <xdr:row>26</xdr:row>
      <xdr:rowOff>152401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8DD98610-8D64-44C8-A729-0CC7C8B4B728}"/>
            </a:ext>
          </a:extLst>
        </xdr:cNvPr>
        <xdr:cNvGrpSpPr/>
      </xdr:nvGrpSpPr>
      <xdr:grpSpPr>
        <a:xfrm>
          <a:off x="7534257" y="1724026"/>
          <a:ext cx="5369718" cy="3381375"/>
          <a:chOff x="2095500" y="714376"/>
          <a:chExt cx="5369718" cy="3381375"/>
        </a:xfrm>
      </xdr:grpSpPr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E8F308BE-8DF9-01B4-4726-B9E1BAFAF34C}"/>
              </a:ext>
            </a:extLst>
          </xdr:cNvPr>
          <xdr:cNvGrpSpPr/>
        </xdr:nvGrpSpPr>
        <xdr:grpSpPr>
          <a:xfrm>
            <a:off x="2095500" y="714376"/>
            <a:ext cx="5369718" cy="3381375"/>
            <a:chOff x="2809876" y="750094"/>
            <a:chExt cx="5369718" cy="3381375"/>
          </a:xfrm>
        </xdr:grpSpPr>
        <xdr:sp macro="" textlink="">
          <xdr:nvSpPr>
            <xdr:cNvPr id="47" name="Retângulo: Cantos Arredondados 46">
              <a:extLst>
                <a:ext uri="{FF2B5EF4-FFF2-40B4-BE49-F238E27FC236}">
                  <a16:creationId xmlns:a16="http://schemas.microsoft.com/office/drawing/2014/main" id="{329CE417-16EE-8970-81CF-14055EE8C03D}"/>
                </a:ext>
              </a:extLst>
            </xdr:cNvPr>
            <xdr:cNvSpPr/>
          </xdr:nvSpPr>
          <xdr:spPr>
            <a:xfrm>
              <a:off x="2821781" y="750094"/>
              <a:ext cx="5357813" cy="33813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48" name="Retângulo: Cantos Superiores Arredondados 47">
              <a:extLst>
                <a:ext uri="{FF2B5EF4-FFF2-40B4-BE49-F238E27FC236}">
                  <a16:creationId xmlns:a16="http://schemas.microsoft.com/office/drawing/2014/main" id="{867A9F20-3E2D-3052-E641-CFF997C0960C}"/>
                </a:ext>
              </a:extLst>
            </xdr:cNvPr>
            <xdr:cNvSpPr/>
          </xdr:nvSpPr>
          <xdr:spPr>
            <a:xfrm>
              <a:off x="2809876" y="750094"/>
              <a:ext cx="5369718" cy="833437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FB6F5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9955A7D9-8CFF-8BA0-BA14-574C7B85E93F}"/>
              </a:ext>
            </a:extLst>
          </xdr:cNvPr>
          <xdr:cNvSpPr txBox="1"/>
        </xdr:nvSpPr>
        <xdr:spPr>
          <a:xfrm>
            <a:off x="2238374" y="964404"/>
            <a:ext cx="3381375" cy="571500"/>
          </a:xfrm>
          <a:prstGeom prst="rect">
            <a:avLst/>
          </a:prstGeom>
          <a:solidFill>
            <a:srgbClr val="FB6F54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2000" b="1" i="0" kern="1200">
                <a:solidFill>
                  <a:schemeClr val="bg1"/>
                </a:solidFill>
              </a:rPr>
              <a:t>Economias</a:t>
            </a:r>
          </a:p>
        </xdr:txBody>
      </xdr:sp>
    </xdr:grpSp>
    <xdr:clientData/>
  </xdr:twoCellAnchor>
  <xdr:twoCellAnchor editAs="oneCell">
    <xdr:from>
      <xdr:col>12</xdr:col>
      <xdr:colOff>488156</xdr:colOff>
      <xdr:row>9</xdr:row>
      <xdr:rowOff>83343</xdr:rowOff>
    </xdr:from>
    <xdr:to>
      <xdr:col>14</xdr:col>
      <xdr:colOff>21790</xdr:colOff>
      <xdr:row>13</xdr:row>
      <xdr:rowOff>71916</xdr:rowOff>
    </xdr:to>
    <xdr:pic>
      <xdr:nvPicPr>
        <xdr:cNvPr id="50" name="Imagem 49" descr="Porco, porquinho de fazenda imagem png - [download] 56164 | Criativo Dahora">
          <a:extLst>
            <a:ext uri="{FF2B5EF4-FFF2-40B4-BE49-F238E27FC236}">
              <a16:creationId xmlns:a16="http://schemas.microsoft.com/office/drawing/2014/main" id="{CAA2FE4F-EF26-2AC9-39D0-58AAF091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97843"/>
          <a:ext cx="748071" cy="750573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581008</xdr:colOff>
      <xdr:row>13</xdr:row>
      <xdr:rowOff>164307</xdr:rowOff>
    </xdr:from>
    <xdr:to>
      <xdr:col>18</xdr:col>
      <xdr:colOff>250031</xdr:colOff>
      <xdr:row>25</xdr:row>
      <xdr:rowOff>154781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5042F55A-C847-4DE7-9D1D-B3FFAB86E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ise Battestin" refreshedDate="45670.835189351848" createdVersion="8" refreshedVersion="8" minRefreshableVersion="3" recordCount="44" xr:uid="{7484ECE5-739C-4C54-9DA0-72CFE34B9AC1}">
  <cacheSource type="worksheet">
    <worksheetSource name="tbl_operations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166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478613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DB7DE-FAC5-42AF-93D4-E0FC8FB1EE59}" name="Tabela dinâmica2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8:F13" firstHeaderRow="1" firstDataRow="1" firstDataCol="1" rowPageCount="1" colPageCount="1"/>
  <pivotFields count="8">
    <pivotField numFmtId="14" showAll="0"/>
    <pivotField numFmtId="1" showAll="0"/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6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769DA-FD8A-483F-9B9A-408A49079CC0}" name="Tabela dinâmica1" cacheId="6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B8:C24" firstHeaderRow="1" firstDataRow="1" firstDataCol="1" rowPageCount="1" colPageCount="1"/>
  <pivotFields count="8">
    <pivotField numFmtId="14" showAll="0"/>
    <pivotField numFmtId="1" showAll="0">
      <items count="4">
        <item x="0"/>
        <item x="1"/>
        <item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multipleItemSelectionAllowe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2" hier="-1"/>
  </pageFields>
  <dataFields count="1">
    <dataField name="Soma de Valor" fld="5" baseField="0" baseItem="0" numFmtId="166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2" name="Data">
      <autoFilter ref="A1">
        <filterColumn colId="0">
          <customFilters and="1">
            <customFilter operator="greaterThanOrEqual" val="45505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52C42A5-31DD-4B7D-82B6-07EE22E022FE}" sourceName="Mês">
  <pivotTables>
    <pivotTable tabId="2" name="Tabela dinâmica1"/>
  </pivotTables>
  <data>
    <tabular pivotCacheId="147861385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28E66938-9CB4-4D1B-9483-786D07A8CB62}" cache="SegmentaçãodeDados_Mês" caption="Mê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5891A-635D-475E-B6B1-6FCD8AA9AEB5}" name="tbl_operations" displayName="tbl_operations" ref="A1:H45" totalsRowShown="0">
  <autoFilter ref="A1:H45" xr:uid="{6085891A-635D-475E-B6B1-6FCD8AA9AEB5}">
    <filterColumn colId="2">
      <filters>
        <filter val="ENTRADA"/>
      </filters>
    </filterColumn>
  </autoFilter>
  <tableColumns count="8">
    <tableColumn id="1" xr3:uid="{B3AA8B30-ABA4-462E-A7A1-D958A729A776}" name="Data"/>
    <tableColumn id="8" xr3:uid="{F9A88FB3-1290-418F-B178-BA36F2ABA3BF}" name="Mês" dataDxfId="5">
      <calculatedColumnFormula>MONTH(tbl_operations[[#This Row],[Data]])</calculatedColumnFormula>
    </tableColumn>
    <tableColumn id="2" xr3:uid="{6F574F57-732F-42B1-8E40-F640E1126B6B}" name="Tipo"/>
    <tableColumn id="3" xr3:uid="{10BAC488-8EDD-40DA-95BC-D27B161F9C5B}" name="Categoria"/>
    <tableColumn id="4" xr3:uid="{78054118-D8D4-46F6-8AD5-1F8D1E14E8BE}" name="Descrição"/>
    <tableColumn id="5" xr3:uid="{B573770F-3885-41F0-993B-31B10650963A}" name="Valor"/>
    <tableColumn id="6" xr3:uid="{5319A99F-49FD-46AC-BCF8-AE86C1FB650B}" name="Operação Bancária"/>
    <tableColumn id="7" xr3:uid="{180E769F-0E9E-4782-ADC1-DEF2482449E4}" name="Statu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086CF2-7D8C-4E84-AE3C-B669A75DF7E2}" name="Tabela2" displayName="Tabela2" ref="A4:B16" totalsRowShown="0">
  <autoFilter ref="A4:B16" xr:uid="{CF086CF2-7D8C-4E84-AE3C-B669A75DF7E2}"/>
  <tableColumns count="2">
    <tableColumn id="1" xr3:uid="{2244DF68-6960-443F-968D-D8D0D2F2B7D3}" name="Data de Lançamento"/>
    <tableColumn id="2" xr3:uid="{87036F43-2455-4E6C-A6CE-741A3651F4D0}" name="Depósito Reservado" dataDxfId="0" dataCellStyle="Moeda">
      <calculatedColumnFormula>RANDBETWEEN(10, 500)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653C-DF9C-428A-9381-F5FAA9C18E24}">
  <sheetPr>
    <tabColor rgb="FF00B0F0"/>
  </sheetPr>
  <dimension ref="A1:H45"/>
  <sheetViews>
    <sheetView showGridLines="0" workbookViewId="0">
      <selection activeCell="F2" sqref="F2:F38"/>
    </sheetView>
  </sheetViews>
  <sheetFormatPr defaultColWidth="60.28515625" defaultRowHeight="15" x14ac:dyDescent="0.25"/>
  <cols>
    <col min="1" max="1" width="10.7109375" style="1" bestFit="1" customWidth="1"/>
    <col min="2" max="2" width="7.140625" style="11" bestFit="1" customWidth="1"/>
    <col min="3" max="3" width="9.42578125" style="1" bestFit="1" customWidth="1"/>
    <col min="4" max="4" width="20.85546875" style="1" bestFit="1" customWidth="1"/>
    <col min="5" max="5" width="34.42578125" style="1" bestFit="1" customWidth="1"/>
    <col min="6" max="6" width="14.28515625" style="1" customWidth="1"/>
    <col min="7" max="7" width="19.85546875" style="1" bestFit="1" customWidth="1"/>
    <col min="8" max="8" width="9.7109375" style="1" bestFit="1" customWidth="1"/>
    <col min="9" max="16384" width="60.28515625" style="1"/>
  </cols>
  <sheetData>
    <row r="1" spans="1:8" x14ac:dyDescent="0.25">
      <c r="A1" s="1" t="s">
        <v>0</v>
      </c>
      <c r="B1" s="11" t="s">
        <v>76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6</v>
      </c>
    </row>
    <row r="2" spans="1:8" x14ac:dyDescent="0.25">
      <c r="A2" s="3">
        <v>45505</v>
      </c>
      <c r="B2" s="12">
        <f>MONTH(tbl_operations[[#This Row],[Data]])</f>
        <v>8</v>
      </c>
      <c r="C2" s="4" t="s">
        <v>7</v>
      </c>
      <c r="D2" s="4" t="s">
        <v>8</v>
      </c>
      <c r="E2" s="4" t="s">
        <v>9</v>
      </c>
      <c r="F2" s="5">
        <v>5000</v>
      </c>
      <c r="G2" s="4" t="s">
        <v>10</v>
      </c>
      <c r="H2" s="4" t="s">
        <v>11</v>
      </c>
    </row>
    <row r="3" spans="1:8" hidden="1" x14ac:dyDescent="0.25">
      <c r="A3" s="3">
        <v>45505</v>
      </c>
      <c r="B3" s="12">
        <f>MONTH(tbl_operations[[#This Row],[Data]])</f>
        <v>8</v>
      </c>
      <c r="C3" s="4" t="s">
        <v>12</v>
      </c>
      <c r="D3" s="4" t="s">
        <v>13</v>
      </c>
      <c r="E3" s="4" t="s">
        <v>14</v>
      </c>
      <c r="F3" s="5">
        <v>550</v>
      </c>
      <c r="G3" s="4" t="s">
        <v>15</v>
      </c>
      <c r="H3" s="4" t="s">
        <v>16</v>
      </c>
    </row>
    <row r="4" spans="1:8" hidden="1" x14ac:dyDescent="0.25">
      <c r="A4" s="3">
        <v>45507</v>
      </c>
      <c r="B4" s="12">
        <f>MONTH(tbl_operations[[#This Row],[Data]])</f>
        <v>8</v>
      </c>
      <c r="C4" s="4" t="s">
        <v>12</v>
      </c>
      <c r="D4" s="4" t="s">
        <v>17</v>
      </c>
      <c r="E4" s="4" t="s">
        <v>18</v>
      </c>
      <c r="F4" s="5">
        <v>300</v>
      </c>
      <c r="G4" s="4" t="s">
        <v>19</v>
      </c>
      <c r="H4" s="4" t="s">
        <v>20</v>
      </c>
    </row>
    <row r="5" spans="1:8" hidden="1" x14ac:dyDescent="0.25">
      <c r="A5" s="3">
        <v>45509</v>
      </c>
      <c r="B5" s="12">
        <f>MONTH(tbl_operations[[#This Row],[Data]])</f>
        <v>8</v>
      </c>
      <c r="C5" s="4" t="s">
        <v>12</v>
      </c>
      <c r="D5" s="4" t="s">
        <v>21</v>
      </c>
      <c r="E5" s="4" t="s">
        <v>22</v>
      </c>
      <c r="F5" s="5">
        <v>120</v>
      </c>
      <c r="G5" s="4" t="s">
        <v>19</v>
      </c>
      <c r="H5" s="4" t="s">
        <v>20</v>
      </c>
    </row>
    <row r="6" spans="1:8" hidden="1" x14ac:dyDescent="0.25">
      <c r="A6" s="3">
        <v>45511</v>
      </c>
      <c r="B6" s="12">
        <f>MONTH(tbl_operations[[#This Row],[Data]])</f>
        <v>8</v>
      </c>
      <c r="C6" s="4" t="s">
        <v>12</v>
      </c>
      <c r="D6" s="4" t="s">
        <v>23</v>
      </c>
      <c r="E6" s="4" t="s">
        <v>24</v>
      </c>
      <c r="F6" s="5">
        <v>250</v>
      </c>
      <c r="G6" s="4" t="s">
        <v>10</v>
      </c>
      <c r="H6" s="4" t="s">
        <v>20</v>
      </c>
    </row>
    <row r="7" spans="1:8" hidden="1" x14ac:dyDescent="0.25">
      <c r="A7" s="3">
        <v>45514</v>
      </c>
      <c r="B7" s="12">
        <f>MONTH(tbl_operations[[#This Row],[Data]])</f>
        <v>8</v>
      </c>
      <c r="C7" s="4" t="s">
        <v>12</v>
      </c>
      <c r="D7" s="4" t="s">
        <v>25</v>
      </c>
      <c r="E7" s="4" t="s">
        <v>26</v>
      </c>
      <c r="F7" s="5">
        <v>400</v>
      </c>
      <c r="G7" s="4" t="s">
        <v>15</v>
      </c>
      <c r="H7" s="4" t="s">
        <v>16</v>
      </c>
    </row>
    <row r="8" spans="1:8" hidden="1" x14ac:dyDescent="0.25">
      <c r="A8" s="3">
        <v>45516</v>
      </c>
      <c r="B8" s="12">
        <f>MONTH(tbl_operations[[#This Row],[Data]])</f>
        <v>8</v>
      </c>
      <c r="C8" s="4" t="s">
        <v>12</v>
      </c>
      <c r="D8" s="4" t="s">
        <v>27</v>
      </c>
      <c r="E8" s="4" t="s">
        <v>28</v>
      </c>
      <c r="F8" s="5">
        <v>600</v>
      </c>
      <c r="G8" s="4" t="s">
        <v>19</v>
      </c>
      <c r="H8" s="4" t="s">
        <v>16</v>
      </c>
    </row>
    <row r="9" spans="1:8" x14ac:dyDescent="0.25">
      <c r="A9" s="3">
        <v>45519</v>
      </c>
      <c r="B9" s="12">
        <f>MONTH(tbl_operations[[#This Row],[Data]])</f>
        <v>8</v>
      </c>
      <c r="C9" s="4" t="s">
        <v>7</v>
      </c>
      <c r="D9" s="4" t="s">
        <v>29</v>
      </c>
      <c r="E9" s="4" t="s">
        <v>30</v>
      </c>
      <c r="F9" s="5">
        <v>800</v>
      </c>
      <c r="G9" s="4" t="s">
        <v>10</v>
      </c>
      <c r="H9" s="4" t="s">
        <v>11</v>
      </c>
    </row>
    <row r="10" spans="1:8" hidden="1" x14ac:dyDescent="0.25">
      <c r="A10" s="3">
        <v>45519</v>
      </c>
      <c r="B10" s="12">
        <f>MONTH(tbl_operations[[#This Row],[Data]])</f>
        <v>8</v>
      </c>
      <c r="C10" s="4" t="s">
        <v>12</v>
      </c>
      <c r="D10" s="4" t="s">
        <v>31</v>
      </c>
      <c r="E10" s="4" t="s">
        <v>32</v>
      </c>
      <c r="F10" s="5">
        <v>150</v>
      </c>
      <c r="G10" s="4" t="s">
        <v>10</v>
      </c>
      <c r="H10" s="4" t="s">
        <v>20</v>
      </c>
    </row>
    <row r="11" spans="1:8" hidden="1" x14ac:dyDescent="0.25">
      <c r="A11" s="3">
        <v>45522</v>
      </c>
      <c r="B11" s="12">
        <f>MONTH(tbl_operations[[#This Row],[Data]])</f>
        <v>8</v>
      </c>
      <c r="C11" s="4" t="s">
        <v>12</v>
      </c>
      <c r="D11" s="4" t="s">
        <v>33</v>
      </c>
      <c r="E11" s="4" t="s">
        <v>34</v>
      </c>
      <c r="F11" s="5">
        <v>1200</v>
      </c>
      <c r="G11" s="4" t="s">
        <v>19</v>
      </c>
      <c r="H11" s="4" t="s">
        <v>16</v>
      </c>
    </row>
    <row r="12" spans="1:8" hidden="1" x14ac:dyDescent="0.25">
      <c r="A12" s="3">
        <v>45524</v>
      </c>
      <c r="B12" s="12">
        <f>MONTH(tbl_operations[[#This Row],[Data]])</f>
        <v>8</v>
      </c>
      <c r="C12" s="4" t="s">
        <v>12</v>
      </c>
      <c r="D12" s="4" t="s">
        <v>35</v>
      </c>
      <c r="E12" s="4" t="s">
        <v>36</v>
      </c>
      <c r="F12" s="5">
        <v>450</v>
      </c>
      <c r="G12" s="4" t="s">
        <v>15</v>
      </c>
      <c r="H12" s="4" t="s">
        <v>20</v>
      </c>
    </row>
    <row r="13" spans="1:8" hidden="1" x14ac:dyDescent="0.25">
      <c r="A13" s="3">
        <v>45526</v>
      </c>
      <c r="B13" s="12">
        <f>MONTH(tbl_operations[[#This Row],[Data]])</f>
        <v>8</v>
      </c>
      <c r="C13" s="4" t="s">
        <v>12</v>
      </c>
      <c r="D13" s="4" t="s">
        <v>37</v>
      </c>
      <c r="E13" s="4" t="s">
        <v>38</v>
      </c>
      <c r="F13" s="5">
        <v>180</v>
      </c>
      <c r="G13" s="4" t="s">
        <v>10</v>
      </c>
      <c r="H13" s="4" t="s">
        <v>16</v>
      </c>
    </row>
    <row r="14" spans="1:8" hidden="1" x14ac:dyDescent="0.25">
      <c r="A14" s="3">
        <v>45528</v>
      </c>
      <c r="B14" s="12">
        <f>MONTH(tbl_operations[[#This Row],[Data]])</f>
        <v>8</v>
      </c>
      <c r="C14" s="4" t="s">
        <v>12</v>
      </c>
      <c r="D14" s="4" t="s">
        <v>39</v>
      </c>
      <c r="E14" s="4" t="s">
        <v>40</v>
      </c>
      <c r="F14" s="5">
        <v>80</v>
      </c>
      <c r="G14" s="4" t="s">
        <v>15</v>
      </c>
      <c r="H14" s="4" t="s">
        <v>20</v>
      </c>
    </row>
    <row r="15" spans="1:8" hidden="1" x14ac:dyDescent="0.25">
      <c r="A15" s="3">
        <v>45532</v>
      </c>
      <c r="B15" s="12">
        <f>MONTH(tbl_operations[[#This Row],[Data]])</f>
        <v>8</v>
      </c>
      <c r="C15" s="4" t="s">
        <v>12</v>
      </c>
      <c r="D15" s="4" t="s">
        <v>41</v>
      </c>
      <c r="E15" s="4" t="s">
        <v>42</v>
      </c>
      <c r="F15" s="5">
        <v>200</v>
      </c>
      <c r="G15" s="4" t="s">
        <v>15</v>
      </c>
      <c r="H15" s="4" t="s">
        <v>20</v>
      </c>
    </row>
    <row r="16" spans="1:8" hidden="1" x14ac:dyDescent="0.25">
      <c r="A16" s="3">
        <v>45534</v>
      </c>
      <c r="B16" s="12">
        <f>MONTH(tbl_operations[[#This Row],[Data]])</f>
        <v>8</v>
      </c>
      <c r="C16" s="4" t="s">
        <v>12</v>
      </c>
      <c r="D16" s="4" t="s">
        <v>43</v>
      </c>
      <c r="E16" s="4" t="s">
        <v>44</v>
      </c>
      <c r="F16" s="5">
        <v>750</v>
      </c>
      <c r="G16" s="4" t="s">
        <v>10</v>
      </c>
      <c r="H16" s="4" t="s">
        <v>16</v>
      </c>
    </row>
    <row r="17" spans="1:8" hidden="1" x14ac:dyDescent="0.25">
      <c r="A17" s="3">
        <v>45535</v>
      </c>
      <c r="B17" s="12">
        <f>MONTH(tbl_operations[[#This Row],[Data]])</f>
        <v>8</v>
      </c>
      <c r="C17" s="4" t="s">
        <v>12</v>
      </c>
      <c r="D17" s="4" t="s">
        <v>45</v>
      </c>
      <c r="E17" s="4" t="s">
        <v>46</v>
      </c>
      <c r="F17" s="5">
        <v>350</v>
      </c>
      <c r="G17" s="4" t="s">
        <v>19</v>
      </c>
      <c r="H17" s="4" t="s">
        <v>20</v>
      </c>
    </row>
    <row r="18" spans="1:8" x14ac:dyDescent="0.25">
      <c r="A18" s="3">
        <v>45536</v>
      </c>
      <c r="B18" s="12">
        <f>MONTH(tbl_operations[[#This Row],[Data]])</f>
        <v>9</v>
      </c>
      <c r="C18" s="4" t="s">
        <v>7</v>
      </c>
      <c r="D18" s="4" t="s">
        <v>8</v>
      </c>
      <c r="E18" s="4" t="s">
        <v>9</v>
      </c>
      <c r="F18" s="5">
        <v>5000</v>
      </c>
      <c r="G18" s="4" t="s">
        <v>10</v>
      </c>
      <c r="H18" s="4" t="s">
        <v>11</v>
      </c>
    </row>
    <row r="19" spans="1:8" hidden="1" x14ac:dyDescent="0.25">
      <c r="A19" s="3">
        <v>45537</v>
      </c>
      <c r="B19" s="12">
        <f>MONTH(tbl_operations[[#This Row],[Data]])</f>
        <v>9</v>
      </c>
      <c r="C19" s="4" t="s">
        <v>12</v>
      </c>
      <c r="D19" s="4" t="s">
        <v>13</v>
      </c>
      <c r="E19" s="5" t="s">
        <v>14</v>
      </c>
      <c r="F19" s="5">
        <v>450</v>
      </c>
      <c r="G19" s="4" t="s">
        <v>15</v>
      </c>
      <c r="H19" s="4" t="s">
        <v>16</v>
      </c>
    </row>
    <row r="20" spans="1:8" hidden="1" x14ac:dyDescent="0.25">
      <c r="A20" s="3">
        <v>45540</v>
      </c>
      <c r="B20" s="12">
        <f>MONTH(tbl_operations[[#This Row],[Data]])</f>
        <v>9</v>
      </c>
      <c r="C20" s="4" t="s">
        <v>12</v>
      </c>
      <c r="D20" s="4" t="s">
        <v>17</v>
      </c>
      <c r="E20" s="5" t="s">
        <v>18</v>
      </c>
      <c r="F20" s="5">
        <v>300</v>
      </c>
      <c r="G20" s="4" t="s">
        <v>15</v>
      </c>
      <c r="H20" s="4" t="s">
        <v>20</v>
      </c>
    </row>
    <row r="21" spans="1:8" hidden="1" x14ac:dyDescent="0.25">
      <c r="A21" s="3">
        <v>45543</v>
      </c>
      <c r="B21" s="12">
        <f>MONTH(tbl_operations[[#This Row],[Data]])</f>
        <v>9</v>
      </c>
      <c r="C21" s="4" t="s">
        <v>12</v>
      </c>
      <c r="D21" s="4" t="s">
        <v>21</v>
      </c>
      <c r="E21" s="5" t="s">
        <v>47</v>
      </c>
      <c r="F21" s="5">
        <v>200</v>
      </c>
      <c r="G21" s="4" t="s">
        <v>10</v>
      </c>
      <c r="H21" s="4" t="s">
        <v>20</v>
      </c>
    </row>
    <row r="22" spans="1:8" hidden="1" x14ac:dyDescent="0.25">
      <c r="A22" s="3">
        <v>45546</v>
      </c>
      <c r="B22" s="12">
        <f>MONTH(tbl_operations[[#This Row],[Data]])</f>
        <v>9</v>
      </c>
      <c r="C22" s="4" t="s">
        <v>12</v>
      </c>
      <c r="D22" s="4" t="s">
        <v>23</v>
      </c>
      <c r="E22" s="5" t="s">
        <v>48</v>
      </c>
      <c r="F22" s="5">
        <v>600</v>
      </c>
      <c r="G22" s="4" t="s">
        <v>15</v>
      </c>
      <c r="H22" s="4" t="s">
        <v>16</v>
      </c>
    </row>
    <row r="23" spans="1:8" hidden="1" x14ac:dyDescent="0.25">
      <c r="A23" s="3">
        <v>45549</v>
      </c>
      <c r="B23" s="12">
        <f>MONTH(tbl_operations[[#This Row],[Data]])</f>
        <v>9</v>
      </c>
      <c r="C23" s="4" t="s">
        <v>12</v>
      </c>
      <c r="D23" s="4" t="s">
        <v>25</v>
      </c>
      <c r="E23" s="5" t="s">
        <v>26</v>
      </c>
      <c r="F23" s="5">
        <v>350</v>
      </c>
      <c r="G23" s="4" t="s">
        <v>10</v>
      </c>
      <c r="H23" s="4" t="s">
        <v>20</v>
      </c>
    </row>
    <row r="24" spans="1:8" hidden="1" x14ac:dyDescent="0.25">
      <c r="A24" s="3">
        <v>45552</v>
      </c>
      <c r="B24" s="12">
        <f>MONTH(tbl_operations[[#This Row],[Data]])</f>
        <v>9</v>
      </c>
      <c r="C24" s="4" t="s">
        <v>12</v>
      </c>
      <c r="D24" s="4" t="s">
        <v>27</v>
      </c>
      <c r="E24" s="5" t="s">
        <v>49</v>
      </c>
      <c r="F24" s="5">
        <v>500</v>
      </c>
      <c r="G24" s="4" t="s">
        <v>19</v>
      </c>
      <c r="H24" s="4" t="s">
        <v>16</v>
      </c>
    </row>
    <row r="25" spans="1:8" x14ac:dyDescent="0.25">
      <c r="A25" s="3">
        <v>45555</v>
      </c>
      <c r="B25" s="12">
        <f>MONTH(tbl_operations[[#This Row],[Data]])</f>
        <v>9</v>
      </c>
      <c r="C25" s="4" t="s">
        <v>7</v>
      </c>
      <c r="D25" s="4" t="s">
        <v>50</v>
      </c>
      <c r="E25" s="4" t="s">
        <v>51</v>
      </c>
      <c r="F25" s="5">
        <v>1200</v>
      </c>
      <c r="G25" s="4" t="s">
        <v>10</v>
      </c>
      <c r="H25" s="4" t="s">
        <v>11</v>
      </c>
    </row>
    <row r="26" spans="1:8" hidden="1" x14ac:dyDescent="0.25">
      <c r="A26" s="3">
        <v>45555</v>
      </c>
      <c r="B26" s="12">
        <f>MONTH(tbl_operations[[#This Row],[Data]])</f>
        <v>9</v>
      </c>
      <c r="C26" s="4" t="s">
        <v>12</v>
      </c>
      <c r="D26" s="4" t="s">
        <v>31</v>
      </c>
      <c r="E26" s="5" t="s">
        <v>52</v>
      </c>
      <c r="F26" s="5">
        <v>800</v>
      </c>
      <c r="G26" s="4" t="s">
        <v>10</v>
      </c>
      <c r="H26" s="4" t="s">
        <v>20</v>
      </c>
    </row>
    <row r="27" spans="1:8" hidden="1" x14ac:dyDescent="0.25">
      <c r="A27" s="3">
        <v>45558</v>
      </c>
      <c r="B27" s="12">
        <f>MONTH(tbl_operations[[#This Row],[Data]])</f>
        <v>9</v>
      </c>
      <c r="C27" s="4" t="s">
        <v>12</v>
      </c>
      <c r="D27" s="4" t="s">
        <v>33</v>
      </c>
      <c r="E27" s="5" t="s">
        <v>53</v>
      </c>
      <c r="F27" s="5">
        <v>1500</v>
      </c>
      <c r="G27" s="4" t="s">
        <v>19</v>
      </c>
      <c r="H27" s="4" t="s">
        <v>16</v>
      </c>
    </row>
    <row r="28" spans="1:8" hidden="1" x14ac:dyDescent="0.25">
      <c r="A28" s="3">
        <v>45561</v>
      </c>
      <c r="B28" s="12">
        <f>MONTH(tbl_operations[[#This Row],[Data]])</f>
        <v>9</v>
      </c>
      <c r="C28" s="4" t="s">
        <v>12</v>
      </c>
      <c r="D28" s="4" t="s">
        <v>54</v>
      </c>
      <c r="E28" s="5" t="s">
        <v>55</v>
      </c>
      <c r="F28" s="5">
        <v>250</v>
      </c>
      <c r="G28" s="4" t="s">
        <v>15</v>
      </c>
      <c r="H28" s="4" t="s">
        <v>20</v>
      </c>
    </row>
    <row r="29" spans="1:8" hidden="1" x14ac:dyDescent="0.25">
      <c r="A29" s="3">
        <v>45564</v>
      </c>
      <c r="B29" s="12">
        <f>MONTH(tbl_operations[[#This Row],[Data]])</f>
        <v>9</v>
      </c>
      <c r="C29" s="4" t="s">
        <v>12</v>
      </c>
      <c r="D29" s="4" t="s">
        <v>37</v>
      </c>
      <c r="E29" s="5" t="s">
        <v>56</v>
      </c>
      <c r="F29" s="5">
        <v>400</v>
      </c>
      <c r="G29" s="4" t="s">
        <v>19</v>
      </c>
      <c r="H29" s="4" t="s">
        <v>16</v>
      </c>
    </row>
    <row r="30" spans="1:8" x14ac:dyDescent="0.25">
      <c r="A30" s="3">
        <v>45566</v>
      </c>
      <c r="B30" s="12">
        <f>MONTH(tbl_operations[[#This Row],[Data]])</f>
        <v>10</v>
      </c>
      <c r="C30" s="4" t="s">
        <v>7</v>
      </c>
      <c r="D30" s="4" t="s">
        <v>8</v>
      </c>
      <c r="E30" s="4" t="s">
        <v>9</v>
      </c>
      <c r="F30" s="5">
        <v>5000</v>
      </c>
      <c r="G30" s="4" t="s">
        <v>10</v>
      </c>
      <c r="H30" s="4" t="s">
        <v>11</v>
      </c>
    </row>
    <row r="31" spans="1:8" hidden="1" x14ac:dyDescent="0.25">
      <c r="A31" s="3">
        <v>45566</v>
      </c>
      <c r="B31" s="12">
        <f>MONTH(tbl_operations[[#This Row],[Data]])</f>
        <v>10</v>
      </c>
      <c r="C31" s="4" t="s">
        <v>12</v>
      </c>
      <c r="D31" s="4" t="s">
        <v>13</v>
      </c>
      <c r="E31" s="4" t="s">
        <v>14</v>
      </c>
      <c r="F31" s="5">
        <v>600</v>
      </c>
      <c r="G31" s="4" t="s">
        <v>15</v>
      </c>
      <c r="H31" s="4" t="s">
        <v>16</v>
      </c>
    </row>
    <row r="32" spans="1:8" hidden="1" x14ac:dyDescent="0.25">
      <c r="A32" s="3">
        <v>45568</v>
      </c>
      <c r="B32" s="12">
        <f>MONTH(tbl_operations[[#This Row],[Data]])</f>
        <v>10</v>
      </c>
      <c r="C32" s="4" t="s">
        <v>12</v>
      </c>
      <c r="D32" s="4" t="s">
        <v>17</v>
      </c>
      <c r="E32" s="4" t="s">
        <v>57</v>
      </c>
      <c r="F32" s="5">
        <v>200</v>
      </c>
      <c r="G32" s="4" t="s">
        <v>19</v>
      </c>
      <c r="H32" s="4" t="s">
        <v>20</v>
      </c>
    </row>
    <row r="33" spans="1:8" hidden="1" x14ac:dyDescent="0.25">
      <c r="A33" s="3">
        <v>45570</v>
      </c>
      <c r="B33" s="12">
        <f>MONTH(tbl_operations[[#This Row],[Data]])</f>
        <v>10</v>
      </c>
      <c r="C33" s="4" t="s">
        <v>12</v>
      </c>
      <c r="D33" s="4" t="s">
        <v>21</v>
      </c>
      <c r="E33" s="4" t="s">
        <v>58</v>
      </c>
      <c r="F33" s="5">
        <v>180</v>
      </c>
      <c r="G33" s="4" t="s">
        <v>10</v>
      </c>
      <c r="H33" s="4" t="s">
        <v>20</v>
      </c>
    </row>
    <row r="34" spans="1:8" hidden="1" x14ac:dyDescent="0.25">
      <c r="A34" s="3">
        <v>45573</v>
      </c>
      <c r="B34" s="12">
        <f>MONTH(tbl_operations[[#This Row],[Data]])</f>
        <v>10</v>
      </c>
      <c r="C34" s="4" t="s">
        <v>12</v>
      </c>
      <c r="D34" s="4" t="s">
        <v>23</v>
      </c>
      <c r="E34" s="4" t="s">
        <v>59</v>
      </c>
      <c r="F34" s="5">
        <v>120</v>
      </c>
      <c r="G34" s="4" t="s">
        <v>15</v>
      </c>
      <c r="H34" s="4" t="s">
        <v>16</v>
      </c>
    </row>
    <row r="35" spans="1:8" hidden="1" x14ac:dyDescent="0.25">
      <c r="A35" s="3">
        <v>45575</v>
      </c>
      <c r="B35" s="12">
        <f>MONTH(tbl_operations[[#This Row],[Data]])</f>
        <v>10</v>
      </c>
      <c r="C35" s="4" t="s">
        <v>12</v>
      </c>
      <c r="D35" s="4" t="s">
        <v>25</v>
      </c>
      <c r="E35" s="4" t="s">
        <v>60</v>
      </c>
      <c r="F35" s="5">
        <v>350</v>
      </c>
      <c r="G35" s="4" t="s">
        <v>19</v>
      </c>
      <c r="H35" s="4" t="s">
        <v>16</v>
      </c>
    </row>
    <row r="36" spans="1:8" hidden="1" x14ac:dyDescent="0.25">
      <c r="A36" s="3">
        <v>45578</v>
      </c>
      <c r="B36" s="12">
        <f>MONTH(tbl_operations[[#This Row],[Data]])</f>
        <v>10</v>
      </c>
      <c r="C36" s="4" t="s">
        <v>12</v>
      </c>
      <c r="D36" s="4" t="s">
        <v>27</v>
      </c>
      <c r="E36" s="4" t="s">
        <v>61</v>
      </c>
      <c r="F36" s="5">
        <v>400</v>
      </c>
      <c r="G36" s="4" t="s">
        <v>10</v>
      </c>
      <c r="H36" s="4" t="s">
        <v>20</v>
      </c>
    </row>
    <row r="37" spans="1:8" hidden="1" x14ac:dyDescent="0.25">
      <c r="A37" s="3">
        <v>45580</v>
      </c>
      <c r="B37" s="12">
        <f>MONTH(tbl_operations[[#This Row],[Data]])</f>
        <v>10</v>
      </c>
      <c r="C37" s="4" t="s">
        <v>12</v>
      </c>
      <c r="D37" s="4" t="s">
        <v>31</v>
      </c>
      <c r="E37" s="4" t="s">
        <v>62</v>
      </c>
      <c r="F37" s="5">
        <v>450</v>
      </c>
      <c r="G37" s="4" t="s">
        <v>15</v>
      </c>
      <c r="H37" s="4" t="s">
        <v>20</v>
      </c>
    </row>
    <row r="38" spans="1:8" x14ac:dyDescent="0.25">
      <c r="A38" s="3">
        <v>45583</v>
      </c>
      <c r="B38" s="12">
        <f>MONTH(tbl_operations[[#This Row],[Data]])</f>
        <v>10</v>
      </c>
      <c r="C38" s="4" t="s">
        <v>7</v>
      </c>
      <c r="D38" s="4" t="s">
        <v>63</v>
      </c>
      <c r="E38" s="4" t="s">
        <v>64</v>
      </c>
      <c r="F38" s="5">
        <v>1500</v>
      </c>
      <c r="G38" s="4" t="s">
        <v>10</v>
      </c>
      <c r="H38" s="4" t="s">
        <v>11</v>
      </c>
    </row>
    <row r="39" spans="1:8" hidden="1" x14ac:dyDescent="0.25">
      <c r="A39" s="3">
        <v>45583</v>
      </c>
      <c r="B39" s="12">
        <f>MONTH(tbl_operations[[#This Row],[Data]])</f>
        <v>10</v>
      </c>
      <c r="C39" s="4" t="s">
        <v>12</v>
      </c>
      <c r="D39" s="4" t="s">
        <v>33</v>
      </c>
      <c r="E39" s="4" t="s">
        <v>65</v>
      </c>
      <c r="F39" s="5">
        <v>300</v>
      </c>
      <c r="G39" s="4" t="s">
        <v>19</v>
      </c>
      <c r="H39" s="4" t="s">
        <v>16</v>
      </c>
    </row>
    <row r="40" spans="1:8" hidden="1" x14ac:dyDescent="0.25">
      <c r="A40" s="3">
        <v>45585</v>
      </c>
      <c r="B40" s="12">
        <f>MONTH(tbl_operations[[#This Row],[Data]])</f>
        <v>10</v>
      </c>
      <c r="C40" s="4" t="s">
        <v>12</v>
      </c>
      <c r="D40" s="4" t="s">
        <v>35</v>
      </c>
      <c r="E40" s="4" t="s">
        <v>66</v>
      </c>
      <c r="F40" s="5">
        <v>800</v>
      </c>
      <c r="G40" s="4" t="s">
        <v>10</v>
      </c>
      <c r="H40" s="4" t="s">
        <v>20</v>
      </c>
    </row>
    <row r="41" spans="1:8" hidden="1" x14ac:dyDescent="0.25">
      <c r="A41" s="3">
        <v>45587</v>
      </c>
      <c r="B41" s="12">
        <f>MONTH(tbl_operations[[#This Row],[Data]])</f>
        <v>10</v>
      </c>
      <c r="C41" s="4" t="s">
        <v>12</v>
      </c>
      <c r="D41" s="4" t="s">
        <v>37</v>
      </c>
      <c r="E41" s="4" t="s">
        <v>67</v>
      </c>
      <c r="F41" s="5">
        <v>250</v>
      </c>
      <c r="G41" s="4" t="s">
        <v>19</v>
      </c>
      <c r="H41" s="4" t="s">
        <v>16</v>
      </c>
    </row>
    <row r="42" spans="1:8" hidden="1" x14ac:dyDescent="0.25">
      <c r="A42" s="3">
        <v>45589</v>
      </c>
      <c r="B42" s="12">
        <f>MONTH(tbl_operations[[#This Row],[Data]])</f>
        <v>10</v>
      </c>
      <c r="C42" s="4" t="s">
        <v>12</v>
      </c>
      <c r="D42" s="4" t="s">
        <v>41</v>
      </c>
      <c r="E42" s="4" t="s">
        <v>68</v>
      </c>
      <c r="F42" s="5">
        <v>150</v>
      </c>
      <c r="G42" s="4" t="s">
        <v>15</v>
      </c>
      <c r="H42" s="4" t="s">
        <v>20</v>
      </c>
    </row>
    <row r="43" spans="1:8" hidden="1" x14ac:dyDescent="0.25">
      <c r="A43" s="3">
        <v>45591</v>
      </c>
      <c r="B43" s="12">
        <f>MONTH(tbl_operations[[#This Row],[Data]])</f>
        <v>10</v>
      </c>
      <c r="C43" s="4" t="s">
        <v>12</v>
      </c>
      <c r="D43" s="4" t="s">
        <v>39</v>
      </c>
      <c r="E43" s="4" t="s">
        <v>69</v>
      </c>
      <c r="F43" s="5">
        <v>250</v>
      </c>
      <c r="G43" s="4" t="s">
        <v>10</v>
      </c>
      <c r="H43" s="4" t="s">
        <v>16</v>
      </c>
    </row>
    <row r="44" spans="1:8" hidden="1" x14ac:dyDescent="0.25">
      <c r="A44" s="3">
        <v>45595</v>
      </c>
      <c r="B44" s="12">
        <f>MONTH(tbl_operations[[#This Row],[Data]])</f>
        <v>10</v>
      </c>
      <c r="C44" s="4" t="s">
        <v>12</v>
      </c>
      <c r="D44" s="4" t="s">
        <v>45</v>
      </c>
      <c r="E44" s="4" t="s">
        <v>70</v>
      </c>
      <c r="F44" s="5">
        <v>220</v>
      </c>
      <c r="G44" s="4" t="s">
        <v>10</v>
      </c>
      <c r="H44" s="4" t="s">
        <v>16</v>
      </c>
    </row>
    <row r="45" spans="1:8" hidden="1" x14ac:dyDescent="0.25">
      <c r="A45" s="3">
        <v>45596</v>
      </c>
      <c r="B45" s="12">
        <f>MONTH(tbl_operations[[#This Row],[Data]])</f>
        <v>10</v>
      </c>
      <c r="C45" s="4" t="s">
        <v>12</v>
      </c>
      <c r="D45" s="4" t="s">
        <v>43</v>
      </c>
      <c r="E45" s="4" t="s">
        <v>71</v>
      </c>
      <c r="F45" s="5">
        <v>500</v>
      </c>
      <c r="G45" s="4" t="s">
        <v>19</v>
      </c>
      <c r="H45" s="4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30AF-0B6B-428E-9894-0DAF12C7A95C}">
  <sheetPr>
    <tabColor rgb="FF00B0F0"/>
  </sheetPr>
  <dimension ref="B1:F24"/>
  <sheetViews>
    <sheetView showGridLines="0" workbookViewId="0">
      <selection activeCell="B9" sqref="B9"/>
    </sheetView>
  </sheetViews>
  <sheetFormatPr defaultRowHeight="15" x14ac:dyDescent="0.25"/>
  <cols>
    <col min="2" max="2" width="20.85546875" bestFit="1" customWidth="1"/>
    <col min="3" max="3" width="13.85546875" bestFit="1" customWidth="1"/>
    <col min="4" max="4" width="8.5703125" customWidth="1"/>
    <col min="5" max="5" width="18" bestFit="1" customWidth="1"/>
    <col min="6" max="6" width="13.85546875" bestFit="1" customWidth="1"/>
  </cols>
  <sheetData>
    <row r="1" spans="2:6" x14ac:dyDescent="0.25">
      <c r="B1" t="s">
        <v>75</v>
      </c>
    </row>
    <row r="2" spans="2:6" s="2" customFormat="1" x14ac:dyDescent="0.25"/>
    <row r="3" spans="2:6" s="2" customFormat="1" x14ac:dyDescent="0.25"/>
    <row r="4" spans="2:6" s="2" customFormat="1" x14ac:dyDescent="0.25">
      <c r="B4"/>
      <c r="C4"/>
    </row>
    <row r="5" spans="2:6" s="2" customFormat="1" x14ac:dyDescent="0.25">
      <c r="B5"/>
      <c r="C5"/>
    </row>
    <row r="6" spans="2:6" s="2" customFormat="1" x14ac:dyDescent="0.25">
      <c r="B6" s="6" t="s">
        <v>1</v>
      </c>
      <c r="C6" s="2" t="s">
        <v>12</v>
      </c>
      <c r="E6" s="6" t="s">
        <v>1</v>
      </c>
      <c r="F6" s="2" t="s">
        <v>7</v>
      </c>
    </row>
    <row r="7" spans="2:6" s="2" customFormat="1" x14ac:dyDescent="0.25"/>
    <row r="8" spans="2:6" x14ac:dyDescent="0.25">
      <c r="B8" s="6" t="s">
        <v>72</v>
      </c>
      <c r="C8" t="s">
        <v>74</v>
      </c>
      <c r="E8" s="6" t="s">
        <v>72</v>
      </c>
      <c r="F8" t="s">
        <v>74</v>
      </c>
    </row>
    <row r="9" spans="2:6" x14ac:dyDescent="0.25">
      <c r="B9" s="7" t="s">
        <v>13</v>
      </c>
      <c r="C9" s="8">
        <v>1600</v>
      </c>
      <c r="E9" s="7" t="s">
        <v>50</v>
      </c>
      <c r="F9" s="8">
        <v>1200</v>
      </c>
    </row>
    <row r="10" spans="2:6" x14ac:dyDescent="0.25">
      <c r="B10" s="7" t="s">
        <v>39</v>
      </c>
      <c r="C10" s="8">
        <v>330</v>
      </c>
      <c r="E10" s="7" t="s">
        <v>29</v>
      </c>
      <c r="F10" s="8">
        <v>800</v>
      </c>
    </row>
    <row r="11" spans="2:6" x14ac:dyDescent="0.25">
      <c r="B11" s="7" t="s">
        <v>25</v>
      </c>
      <c r="C11" s="8">
        <v>1100</v>
      </c>
      <c r="E11" s="7" t="s">
        <v>8</v>
      </c>
      <c r="F11" s="8">
        <v>15000</v>
      </c>
    </row>
    <row r="12" spans="2:6" x14ac:dyDescent="0.25">
      <c r="B12" s="7" t="s">
        <v>33</v>
      </c>
      <c r="C12" s="8">
        <v>3000</v>
      </c>
      <c r="E12" s="7" t="s">
        <v>63</v>
      </c>
      <c r="F12" s="8">
        <v>1500</v>
      </c>
    </row>
    <row r="13" spans="2:6" x14ac:dyDescent="0.25">
      <c r="B13" s="7" t="s">
        <v>45</v>
      </c>
      <c r="C13" s="8">
        <v>570</v>
      </c>
      <c r="E13" s="7" t="s">
        <v>73</v>
      </c>
      <c r="F13" s="8">
        <v>18500</v>
      </c>
    </row>
    <row r="14" spans="2:6" x14ac:dyDescent="0.25">
      <c r="B14" s="7" t="s">
        <v>21</v>
      </c>
      <c r="C14" s="8">
        <v>500</v>
      </c>
    </row>
    <row r="15" spans="2:6" x14ac:dyDescent="0.25">
      <c r="B15" s="7" t="s">
        <v>41</v>
      </c>
      <c r="C15" s="8">
        <v>350</v>
      </c>
    </row>
    <row r="16" spans="2:6" x14ac:dyDescent="0.25">
      <c r="B16" s="7" t="s">
        <v>37</v>
      </c>
      <c r="C16" s="8">
        <v>830</v>
      </c>
    </row>
    <row r="17" spans="2:3" x14ac:dyDescent="0.25">
      <c r="B17" s="7" t="s">
        <v>23</v>
      </c>
      <c r="C17" s="8">
        <v>970</v>
      </c>
    </row>
    <row r="18" spans="2:3" x14ac:dyDescent="0.25">
      <c r="B18" s="7" t="s">
        <v>31</v>
      </c>
      <c r="C18" s="8">
        <v>1400</v>
      </c>
    </row>
    <row r="19" spans="2:3" x14ac:dyDescent="0.25">
      <c r="B19" s="7" t="s">
        <v>17</v>
      </c>
      <c r="C19" s="8">
        <v>800</v>
      </c>
    </row>
    <row r="20" spans="2:3" x14ac:dyDescent="0.25">
      <c r="B20" s="7" t="s">
        <v>54</v>
      </c>
      <c r="C20" s="8">
        <v>250</v>
      </c>
    </row>
    <row r="21" spans="2:3" x14ac:dyDescent="0.25">
      <c r="B21" s="7" t="s">
        <v>35</v>
      </c>
      <c r="C21" s="8">
        <v>1250</v>
      </c>
    </row>
    <row r="22" spans="2:3" x14ac:dyDescent="0.25">
      <c r="B22" s="7" t="s">
        <v>27</v>
      </c>
      <c r="C22" s="8">
        <v>1500</v>
      </c>
    </row>
    <row r="23" spans="2:3" x14ac:dyDescent="0.25">
      <c r="B23" s="7" t="s">
        <v>43</v>
      </c>
      <c r="C23" s="8">
        <v>1250</v>
      </c>
    </row>
    <row r="24" spans="2:3" x14ac:dyDescent="0.25">
      <c r="B24" s="7" t="s">
        <v>73</v>
      </c>
      <c r="C24" s="8">
        <v>15700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93D0-BA2E-4732-8194-167CE25C520E}">
  <sheetPr>
    <tabColor rgb="FF00B0F0"/>
  </sheetPr>
  <dimension ref="A1:B16"/>
  <sheetViews>
    <sheetView showGridLines="0" workbookViewId="0">
      <selection activeCell="I22" sqref="I22"/>
    </sheetView>
  </sheetViews>
  <sheetFormatPr defaultRowHeight="15" x14ac:dyDescent="0.25"/>
  <cols>
    <col min="1" max="1" width="21.42578125" bestFit="1" customWidth="1"/>
    <col min="2" max="2" width="21.28515625" bestFit="1" customWidth="1"/>
  </cols>
  <sheetData>
    <row r="1" spans="1:2" s="2" customFormat="1" x14ac:dyDescent="0.25">
      <c r="A1" s="2" t="s">
        <v>79</v>
      </c>
      <c r="B1" s="15">
        <f ca="1">SUM(Tabela2[Depósito Reservado])</f>
        <v>3227</v>
      </c>
    </row>
    <row r="2" spans="1:2" s="2" customFormat="1" x14ac:dyDescent="0.25">
      <c r="A2" s="2" t="s">
        <v>80</v>
      </c>
      <c r="B2" s="14">
        <v>20000</v>
      </c>
    </row>
    <row r="3" spans="1:2" s="2" customFormat="1" x14ac:dyDescent="0.25"/>
    <row r="4" spans="1:2" x14ac:dyDescent="0.25">
      <c r="A4" t="s">
        <v>77</v>
      </c>
      <c r="B4" t="s">
        <v>78</v>
      </c>
    </row>
    <row r="5" spans="1:2" x14ac:dyDescent="0.25">
      <c r="A5" s="13">
        <v>45603</v>
      </c>
      <c r="B5" s="14">
        <f t="shared" ref="B5:B16" ca="1" si="0">RANDBETWEEN(10, 500)</f>
        <v>387</v>
      </c>
    </row>
    <row r="6" spans="1:2" x14ac:dyDescent="0.25">
      <c r="A6" s="13">
        <v>45604</v>
      </c>
      <c r="B6" s="14">
        <f t="shared" ca="1" si="0"/>
        <v>322</v>
      </c>
    </row>
    <row r="7" spans="1:2" x14ac:dyDescent="0.25">
      <c r="A7" s="13">
        <v>45605</v>
      </c>
      <c r="B7" s="14">
        <f t="shared" ca="1" si="0"/>
        <v>388</v>
      </c>
    </row>
    <row r="8" spans="1:2" x14ac:dyDescent="0.25">
      <c r="A8" s="13">
        <v>45606</v>
      </c>
      <c r="B8" s="14">
        <f t="shared" ca="1" si="0"/>
        <v>219</v>
      </c>
    </row>
    <row r="9" spans="1:2" x14ac:dyDescent="0.25">
      <c r="A9" s="13">
        <v>45607</v>
      </c>
      <c r="B9" s="14">
        <f t="shared" ca="1" si="0"/>
        <v>273</v>
      </c>
    </row>
    <row r="10" spans="1:2" x14ac:dyDescent="0.25">
      <c r="A10" s="13">
        <v>45608</v>
      </c>
      <c r="B10" s="14">
        <f t="shared" ca="1" si="0"/>
        <v>316</v>
      </c>
    </row>
    <row r="11" spans="1:2" x14ac:dyDescent="0.25">
      <c r="A11" s="13">
        <v>45609</v>
      </c>
      <c r="B11" s="14">
        <f t="shared" ca="1" si="0"/>
        <v>368</v>
      </c>
    </row>
    <row r="12" spans="1:2" x14ac:dyDescent="0.25">
      <c r="A12" s="13">
        <v>45610</v>
      </c>
      <c r="B12" s="14">
        <f t="shared" ca="1" si="0"/>
        <v>31</v>
      </c>
    </row>
    <row r="13" spans="1:2" x14ac:dyDescent="0.25">
      <c r="A13" s="13">
        <v>45611</v>
      </c>
      <c r="B13" s="14">
        <f t="shared" ca="1" si="0"/>
        <v>138</v>
      </c>
    </row>
    <row r="14" spans="1:2" x14ac:dyDescent="0.25">
      <c r="A14" s="13">
        <v>45612</v>
      </c>
      <c r="B14" s="14">
        <f t="shared" ca="1" si="0"/>
        <v>87</v>
      </c>
    </row>
    <row r="15" spans="1:2" x14ac:dyDescent="0.25">
      <c r="A15" s="13">
        <v>45613</v>
      </c>
      <c r="B15" s="14">
        <f t="shared" ca="1" si="0"/>
        <v>460</v>
      </c>
    </row>
    <row r="16" spans="1:2" x14ac:dyDescent="0.25">
      <c r="A16" s="13">
        <v>45614</v>
      </c>
      <c r="B16" s="14">
        <f t="shared" ca="1" si="0"/>
        <v>238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C6F2-FA51-4F79-8B7C-442C02C5B674}">
  <sheetPr>
    <tabColor rgb="FF00B050"/>
  </sheetPr>
  <dimension ref="A1"/>
  <sheetViews>
    <sheetView tabSelected="1" zoomScale="80" zoomScaleNormal="80" workbookViewId="0">
      <selection activeCell="G51" sqref="G51"/>
    </sheetView>
  </sheetViews>
  <sheetFormatPr defaultRowHeight="15" x14ac:dyDescent="0.25"/>
  <cols>
    <col min="1" max="1" width="29.7109375" style="9" customWidth="1"/>
    <col min="2" max="16384" width="9.140625" style="1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Battestin</dc:creator>
  <cp:lastModifiedBy>Denise Battestin</cp:lastModifiedBy>
  <dcterms:created xsi:type="dcterms:W3CDTF">2025-01-13T21:11:44Z</dcterms:created>
  <dcterms:modified xsi:type="dcterms:W3CDTF">2025-01-13T23:04:49Z</dcterms:modified>
</cp:coreProperties>
</file>